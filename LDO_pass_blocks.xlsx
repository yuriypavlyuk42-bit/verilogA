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il Applications" sheetId="1" state="visible" r:id="rId3"/>
    <sheet name="Power &amp; Mirror Blocks" sheetId="2" state="visible" r:id="rId4"/>
    <sheet name="Trim Architectu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<sst xmlns="http://schemas.openxmlformats.org/spreadsheetml/2006/main" count="112" uniqueCount="104">
  <si>
    <t xml:space="preserve">Universal LDO — Output Rail Applications</t>
  </si>
  <si>
    <t xml:space="preserve">Output rails the regulator must be able to generate, and where each is typically used.</t>
  </si>
  <si>
    <t xml:space="preserve">Output Rail (V)</t>
  </si>
  <si>
    <t xml:space="preserve">Typical Applications</t>
  </si>
  <si>
    <t xml:space="preserve">LPDDR5 VDDQ; near-threshold / ultra-low-voltage digital cores</t>
  </si>
  <si>
    <t xml:space="preserve">FinFET SoC / CPU / GPU core (DVFS / AVS); low-power digital logic</t>
  </si>
  <si>
    <t xml:space="preserve">SoC core logic; PLL and analog core supply</t>
  </si>
  <si>
    <t xml:space="preserve">DDR5 VDD; LPDDR4 / LPDDR4X core</t>
  </si>
  <si>
    <t xml:space="preserve">DDR4 VDD / VDDQ; thin-oxide I/O; SerDes core</t>
  </si>
  <si>
    <t xml:space="preserve">DDR3L</t>
  </si>
  <si>
    <t xml:space="preserve">DDR3; HDMI / analog PHY; general-purpose I/O</t>
  </si>
  <si>
    <t xml:space="preserve">DDR2; general I/O; NOR/eMMC flash; sensors; level shifters; MIPI</t>
  </si>
  <si>
    <t xml:space="preserve">DDR1; LVDS; analog / PLL supply; legacy I/O</t>
  </si>
  <si>
    <t xml:space="preserve">General GPIO / I/O; SPI / UART / I2C; USB PHY; SD / eMMC; CAN; sensors</t>
  </si>
  <si>
    <t xml:space="preserve">Power Dissipation &amp; Mirror-Block Selection</t>
  </si>
  <si>
    <t xml:space="preserve">P_main_max (W):</t>
  </si>
  <si>
    <t xml:space="preserve">I_low (A):</t>
  </si>
  <si>
    <t xml:space="preserve">I_high (A):</t>
  </si>
  <si>
    <t xml:space="preserve">Blue = editable input.  Dropout / power / class / block are live formulas.  Sorted by power dissipation (ascending).</t>
  </si>
  <si>
    <t xml:space="preserve">Vin (V)</t>
  </si>
  <si>
    <t xml:space="preserve">Vout (V)</t>
  </si>
  <si>
    <t xml:space="preserve">Dropout (V)</t>
  </si>
  <si>
    <t xml:space="preserve">P @I_low (W)</t>
  </si>
  <si>
    <t xml:space="preserve">P @I_high (W)</t>
  </si>
  <si>
    <t xml:space="preserve">Device</t>
  </si>
  <si>
    <t xml:space="preserve">Mirror Block</t>
  </si>
  <si>
    <t xml:space="preserve">Class @I_low</t>
  </si>
  <si>
    <t xml:space="preserve">Class @I_high</t>
  </si>
  <si>
    <t xml:space="preserve">Mirror-Block Summary  (merge of similar (Vin,Vout) by device + dropout tier)</t>
  </si>
  <si>
    <t xml:space="preserve">Block</t>
  </si>
  <si>
    <t xml:space="preserve">Dropout tier</t>
  </si>
  <si>
    <t xml:space="preserve">Max P @I_low</t>
  </si>
  <si>
    <t xml:space="preserve">Max P @I_high</t>
  </si>
  <si>
    <t xml:space="preserve">Notes</t>
  </si>
  <si>
    <t xml:space="preserve">LV</t>
  </si>
  <si>
    <t xml:space="preserve">1.5V dev</t>
  </si>
  <si>
    <t xml:space="preserve">≤ 1.0 V (Vin 1.2–1.5)</t>
  </si>
  <si>
    <t xml:space="preserve">0.20 W</t>
  </si>
  <si>
    <t xml:space="preserve">0.40 W</t>
  </si>
  <si>
    <t xml:space="preserve">Core low-Vin block. Both currents realistic.</t>
  </si>
  <si>
    <t xml:space="preserve">HV-A</t>
  </si>
  <si>
    <t xml:space="preserve">5V dev</t>
  </si>
  <si>
    <t xml:space="preserve">≤ 1.0 V</t>
  </si>
  <si>
    <t xml:space="preserve">Low-drop 5V-dev. Both currents realistic.</t>
  </si>
  <si>
    <t xml:space="preserve">HV-B</t>
  </si>
  <si>
    <t xml:space="preserve">1.0–2.0 V</t>
  </si>
  <si>
    <t xml:space="preserve">0.80 W</t>
  </si>
  <si>
    <t xml:space="preserve">Mid-drop. I_low realistic; I_high partly on-request.</t>
  </si>
  <si>
    <t xml:space="preserve">HV-C</t>
  </si>
  <si>
    <t xml:space="preserve">2.0–3.5 V</t>
  </si>
  <si>
    <t xml:space="preserve">0.70 W</t>
  </si>
  <si>
    <t xml:space="preserve">1.40 W</t>
  </si>
  <si>
    <t xml:space="preserve">High-drop. I_low borderline; I_high on-request.</t>
  </si>
  <si>
    <t xml:space="preserve">HV-D</t>
  </si>
  <si>
    <t xml:space="preserve">3.5–4.5 V</t>
  </si>
  <si>
    <t xml:space="preserve">0.90 W</t>
  </si>
  <si>
    <t xml:space="preserve">1.80 W</t>
  </si>
  <si>
    <t xml:space="preserve">Extreme (e.g. 5V-&gt;0.5V). On-request only; large area / thermal.</t>
  </si>
  <si>
    <t xml:space="preserve">Sizing basis: each block's pass+mirror is thermally sized by its MAX power (max dropout x current), NOT by dropout-for-Rds (pass is always larger than the Rds limit). A block serves any (Vin,Vout) whose power &lt;= its rating and whose Vin fits the device class. Compensation is set per block (its Cgate / gm), and differs per current class (whole mirror is swapped, not just the pass).</t>
  </si>
  <si>
    <t xml:space="preserve">Trim Architecture — Coarse State Select + Fine Trim</t>
  </si>
  <si>
    <t xml:space="preserve">Primary (coarse) bits select the operating state; fine trim then fills the remaining grid.</t>
  </si>
  <si>
    <t xml:space="preserve">1)  Coarse states  —  selected by primary bits</t>
  </si>
  <si>
    <t xml:space="preserve">State</t>
  </si>
  <si>
    <t xml:space="preserve">Voltage (V)</t>
  </si>
  <si>
    <t xml:space="preserve">Domain / application</t>
  </si>
  <si>
    <t xml:space="preserve">FinFET core — DIGITAL</t>
  </si>
  <si>
    <t xml:space="preserve">Digital core default (boot / start state)</t>
  </si>
  <si>
    <t xml:space="preserve">FinFET core — ANALOG</t>
  </si>
  <si>
    <t xml:space="preserve">Analog / mixed-signal domain</t>
  </si>
  <si>
    <t xml:space="preserve">DDR5 / LPDDR4</t>
  </si>
  <si>
    <t xml:space="preserve">Memory VDD</t>
  </si>
  <si>
    <t xml:space="preserve">DDR4</t>
  </si>
  <si>
    <t xml:space="preserve">Memory VDD / VDDQ; thin-oxide I/O</t>
  </si>
  <si>
    <t xml:space="preserve">Memory</t>
  </si>
  <si>
    <t xml:space="preserve">DDR3 / HDMI</t>
  </si>
  <si>
    <t xml:space="preserve">Memory / analog PHY</t>
  </si>
  <si>
    <t xml:space="preserve">DDR2 / I/O</t>
  </si>
  <si>
    <t xml:space="preserve">Memory; general I/O; flash; sensors</t>
  </si>
  <si>
    <t xml:space="preserve">DDR1 / LVDS</t>
  </si>
  <si>
    <t xml:space="preserve">Memory; LVDS; analog</t>
  </si>
  <si>
    <t xml:space="preserve">I/O / GPIO</t>
  </si>
  <si>
    <t xml:space="preserve">GPIO; SPI/UART/I2C; USB PHY; SD; CAN</t>
  </si>
  <si>
    <t xml:space="preserve">Number of coarse states:</t>
  </si>
  <si>
    <t xml:space="preserve">(count of rows above)</t>
  </si>
  <si>
    <t xml:space="preserve">Primary (coarse) bits:</t>
  </si>
  <si>
    <t xml:space="preserve">ceil(log2 of states)</t>
  </si>
  <si>
    <t xml:space="preserve">2)  Fine trim  —  fills the grid between coarse points</t>
  </si>
  <si>
    <t xml:space="preserve">Fine range to cover (mV):</t>
  </si>
  <si>
    <t xml:space="preserve">local window around a coarse point (AVS / margin)</t>
  </si>
  <si>
    <t xml:space="preserve">Fine step — IMPLEMENTED (mV):</t>
  </si>
  <si>
    <t xml:space="preserve">chosen step (resource-light)</t>
  </si>
  <si>
    <t xml:space="preserve">Fine steps:</t>
  </si>
  <si>
    <t xml:space="preserve">range / step</t>
  </si>
  <si>
    <t xml:space="preserve">Fine bits:</t>
  </si>
  <si>
    <t xml:space="preserve">ceil(log2 of steps)</t>
  </si>
  <si>
    <t xml:space="preserve">TOTAL trim bits (coarse + fine):</t>
  </si>
  <si>
    <t xml:space="preserve">primary state + fine grid</t>
  </si>
  <si>
    <t xml:space="preserve">Ideal step — for reference (mV):</t>
  </si>
  <si>
    <t xml:space="preserve">AVS-grade (AMD SVI2 = 6.25 mV, Intel = 5 mV)</t>
  </si>
  <si>
    <t xml:space="preserve">Fine bits @ ideal step:</t>
  </si>
  <si>
    <t xml:space="preserve">Extra bits vs 25 mV:</t>
  </si>
  <si>
    <t xml:space="preserve">cost of going AVS-grade</t>
  </si>
  <si>
    <t xml:space="preserve">Scheme: primary bits pick the state (FinFET 0.8V digital / 0.92V analog, or a DDR/IO rail). Fine trim (25 mV) then covers the remaining sub-grid around that state (AVS on the core, margin on the rest).</t>
  </si>
  <si>
    <t xml:space="preserve">NOTE: 25 mV is chosen to keep the trim resource-light. For proper AVS resolution one should move to 6.25 mV (matching AMD SVI2 / close to Intel 5 mV) — but that costs extra fine bits, area and control resources (see 'Extra bits vs 25 mV' above). 25 mV is a legacy-coarse step; 6.25 mV is the AVS-grade target.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</si>
</sst>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"/>
    <numFmt numFmtId="167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8"/>
      <name val="Arial"/>
      <family val="0"/>
      <charset val="1"/>
    </font>
    <font>
      <sz val="8"/>
      <color rgb="FF555555"/>
      <name val="Arial"/>
      <family val="0"/>
      <charset val="1"/>
    </font>
    <font>
      <i val="true"/>
      <sz val="8"/>
      <color rgb="FFA0522D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E8F1D4"/>
        <bgColor rgb="FFFFF2CC"/>
      </patternFill>
    </fill>
    <fill>
      <patternFill patternType="solid">
        <fgColor rgb="FFD6E9F5"/>
        <bgColor rgb="FFE8F1D4"/>
      </patternFill>
    </fill>
    <fill>
      <patternFill patternType="solid">
        <fgColor rgb="FFFBE7C6"/>
        <bgColor rgb="FFFFF2CC"/>
      </patternFill>
    </fill>
    <fill>
      <patternFill patternType="solid">
        <fgColor rgb="FFF5D9C6"/>
        <bgColor rgb="FFFBE7C6"/>
      </patternFill>
    </fill>
    <fill>
      <patternFill patternType="solid">
        <fgColor rgb="FFF2C7C7"/>
        <bgColor rgb="FFF5D9C6"/>
      </patternFill>
    </fill>
    <fill>
      <patternFill patternType="solid">
        <fgColor rgb="FFFFF2CC"/>
        <bgColor rgb="FFFBE7C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6E9F5"/>
      <rgbColor rgb="FF660066"/>
      <rgbColor rgb="FFFF8080"/>
      <rgbColor rgb="FF0066CC"/>
      <rgbColor rgb="FFF5D9C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1D4"/>
      <rgbColor rgb="FFFBE7C6"/>
      <rgbColor rgb="FF99CCFF"/>
      <rgbColor rgb="FFFF99CC"/>
      <rgbColor rgb="FFCC99FF"/>
      <rgbColor rgb="FFF2C7C7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A0522D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78"/>
  </cols>
  <sheetData>
    <row r="1" customFormat="false" ht="15.7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 t="s">
        <v>1</v>
      </c>
      <c r="B2" s="3"/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25.5" hidden="false" customHeight="true" outlineLevel="0" collapsed="false">
      <c r="A5" s="6" t="n">
        <v>0.5</v>
      </c>
      <c r="B5" s="7" t="s">
        <v>4</v>
      </c>
    </row>
    <row r="6" customFormat="false" ht="25.5" hidden="false" customHeight="true" outlineLevel="0" collapsed="false">
      <c r="A6" s="6" t="n">
        <v>0.8</v>
      </c>
      <c r="B6" s="7" t="s">
        <v>5</v>
      </c>
    </row>
    <row r="7" customFormat="false" ht="25.5" hidden="false" customHeight="true" outlineLevel="0" collapsed="false">
      <c r="A7" s="6" t="n">
        <v>1</v>
      </c>
      <c r="B7" s="7" t="s">
        <v>6</v>
      </c>
    </row>
    <row r="8" customFormat="false" ht="25.5" hidden="false" customHeight="true" outlineLevel="0" collapsed="false">
      <c r="A8" s="6" t="n">
        <v>1.1</v>
      </c>
      <c r="B8" s="7" t="s">
        <v>7</v>
      </c>
    </row>
    <row r="9" customFormat="false" ht="25.5" hidden="false" customHeight="true" outlineLevel="0" collapsed="false">
      <c r="A9" s="6" t="n">
        <v>1.2</v>
      </c>
      <c r="B9" s="7" t="s">
        <v>8</v>
      </c>
    </row>
    <row r="10" customFormat="false" ht="25.5" hidden="false" customHeight="true" outlineLevel="0" collapsed="false">
      <c r="A10" s="6" t="n">
        <v>1.35</v>
      </c>
      <c r="B10" s="7" t="s">
        <v>9</v>
      </c>
    </row>
    <row r="11" customFormat="false" ht="25.5" hidden="false" customHeight="true" outlineLevel="0" collapsed="false">
      <c r="A11" s="6" t="n">
        <v>1.5</v>
      </c>
      <c r="B11" s="7" t="s">
        <v>10</v>
      </c>
    </row>
    <row r="12" customFormat="false" ht="25.5" hidden="false" customHeight="true" outlineLevel="0" collapsed="false">
      <c r="A12" s="6" t="n">
        <v>1.8</v>
      </c>
      <c r="B12" s="7" t="s">
        <v>11</v>
      </c>
    </row>
    <row r="13" customFormat="false" ht="25.5" hidden="false" customHeight="true" outlineLevel="0" collapsed="false">
      <c r="A13" s="6" t="n">
        <v>2.5</v>
      </c>
      <c r="B13" s="7" t="s">
        <v>12</v>
      </c>
    </row>
    <row r="14" customFormat="false" ht="25.5" hidden="false" customHeight="true" outlineLevel="0" collapsed="false">
      <c r="A14" s="6" t="n">
        <v>3.3</v>
      </c>
      <c r="B14" s="7" t="s">
        <v>13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9"/>
    <col collapsed="false" customWidth="true" hidden="false" outlineLevel="0" max="3" min="3" style="1" width="11"/>
    <col collapsed="false" customWidth="true" hidden="false" outlineLevel="0" max="5" min="4" style="1" width="12"/>
    <col collapsed="false" customWidth="true" hidden="false" outlineLevel="0" max="6" min="6" style="1" width="10"/>
    <col collapsed="false" customWidth="true" hidden="false" outlineLevel="0" max="9" min="7" style="1" width="13"/>
  </cols>
  <sheetData>
    <row r="1" customFormat="false" ht="15.75" hidden="false" customHeight="true" outlineLevel="0" collapsed="false">
      <c r="A1" s="2" t="s">
        <v>14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8" t="s">
        <v>15</v>
      </c>
      <c r="B2" s="9" t="n">
        <v>0.6</v>
      </c>
      <c r="D2" s="8" t="s">
        <v>16</v>
      </c>
      <c r="E2" s="9" t="n">
        <v>0.2</v>
      </c>
      <c r="G2" s="8" t="s">
        <v>17</v>
      </c>
      <c r="H2" s="9" t="n">
        <v>0.4</v>
      </c>
    </row>
    <row r="3" customFormat="false" ht="15" hidden="false" customHeight="true" outlineLevel="0" collapsed="false">
      <c r="A3" s="10" t="s">
        <v>18</v>
      </c>
      <c r="B3" s="10"/>
      <c r="C3" s="10"/>
      <c r="D3" s="10"/>
      <c r="E3" s="10"/>
      <c r="F3" s="10"/>
      <c r="G3" s="10"/>
      <c r="H3" s="10"/>
      <c r="I3" s="10"/>
    </row>
    <row r="5" customFormat="false" ht="30" hidden="false" customHeight="true" outlineLevel="0" collapsed="false">
      <c r="A5" s="11" t="s">
        <v>19</v>
      </c>
      <c r="B5" s="11" t="s">
        <v>20</v>
      </c>
      <c r="C5" s="11" t="s">
        <v>21</v>
      </c>
      <c r="D5" s="11" t="s">
        <v>22</v>
      </c>
      <c r="E5" s="11" t="s">
        <v>23</v>
      </c>
      <c r="F5" s="11" t="s">
        <v>24</v>
      </c>
      <c r="G5" s="11" t="s">
        <v>25</v>
      </c>
      <c r="H5" s="11" t="s">
        <v>26</v>
      </c>
      <c r="I5" s="11" t="s">
        <v>27</v>
      </c>
    </row>
    <row r="6" customFormat="false" ht="15" hidden="false" customHeight="true" outlineLevel="0" collapsed="false">
      <c r="A6" s="12" t="n">
        <v>1.5</v>
      </c>
      <c r="B6" s="12" t="n">
        <v>1.35</v>
      </c>
      <c r="C6" s="12" t="n">
        <f aca="false">A6-B6</f>
        <v>0.15</v>
      </c>
      <c r="D6" s="13" t="n">
        <f aca="false">C6*$E$2</f>
        <v>0.03</v>
      </c>
      <c r="E6" s="13" t="n">
        <f aca="false">C6*$H$2</f>
        <v>0.06</v>
      </c>
      <c r="F6" s="14" t="str">
        <f aca="false">IF(A6&lt;=1.5,"1.5V dev","5V dev")</f>
        <v>1.5V dev</v>
      </c>
      <c r="G6" s="15" t="str">
        <f aca="false">IF(A6&lt;=1.5,"LV",IF(C6&lt;=1,"HV-A",IF(C6&lt;=2,"HV-B",IF(C6&lt;=3.5,"HV-C","HV-D"))))</f>
        <v>LV</v>
      </c>
      <c r="H6" s="14" t="str">
        <f aca="false">IF(D6&gt;$B$2,"On request","Main")</f>
        <v>Main</v>
      </c>
      <c r="I6" s="14" t="str">
        <f aca="false">IF(E6&gt;$B$2,"On request","Main")</f>
        <v>Main</v>
      </c>
    </row>
    <row r="7" customFormat="false" ht="15" hidden="false" customHeight="true" outlineLevel="0" collapsed="false">
      <c r="A7" s="12" t="n">
        <v>1.2</v>
      </c>
      <c r="B7" s="12" t="n">
        <v>1</v>
      </c>
      <c r="C7" s="12" t="n">
        <f aca="false">A7-B7</f>
        <v>0.2</v>
      </c>
      <c r="D7" s="13" t="n">
        <f aca="false">C7*$E$2</f>
        <v>0.04</v>
      </c>
      <c r="E7" s="13" t="n">
        <f aca="false">C7*$H$2</f>
        <v>0.08</v>
      </c>
      <c r="F7" s="14" t="str">
        <f aca="false">IF(A7&lt;=1.5,"1.5V dev","5V dev")</f>
        <v>1.5V dev</v>
      </c>
      <c r="G7" s="15" t="str">
        <f aca="false">IF(A7&lt;=1.5,"LV",IF(C7&lt;=1,"HV-A",IF(C7&lt;=2,"HV-B",IF(C7&lt;=3.5,"HV-C","HV-D"))))</f>
        <v>LV</v>
      </c>
      <c r="H7" s="14" t="str">
        <f aca="false">IF(D7&gt;$B$2,"On request","Main")</f>
        <v>Main</v>
      </c>
      <c r="I7" s="14" t="str">
        <f aca="false">IF(E7&gt;$B$2,"On request","Main")</f>
        <v>Main</v>
      </c>
    </row>
    <row r="8" customFormat="false" ht="15" hidden="false" customHeight="true" outlineLevel="0" collapsed="false">
      <c r="A8" s="12" t="n">
        <v>1.5</v>
      </c>
      <c r="B8" s="12" t="n">
        <v>1.2</v>
      </c>
      <c r="C8" s="12" t="n">
        <f aca="false">A8-B8</f>
        <v>0.3</v>
      </c>
      <c r="D8" s="13" t="n">
        <f aca="false">C8*$E$2</f>
        <v>0.06</v>
      </c>
      <c r="E8" s="13" t="n">
        <f aca="false">C8*$H$2</f>
        <v>0.12</v>
      </c>
      <c r="F8" s="14" t="str">
        <f aca="false">IF(A8&lt;=1.5,"1.5V dev","5V dev")</f>
        <v>1.5V dev</v>
      </c>
      <c r="G8" s="15" t="str">
        <f aca="false">IF(A8&lt;=1.5,"LV",IF(C8&lt;=1,"HV-A",IF(C8&lt;=2,"HV-B",IF(C8&lt;=3.5,"HV-C","HV-D"))))</f>
        <v>LV</v>
      </c>
      <c r="H8" s="14" t="str">
        <f aca="false">IF(D8&gt;$B$2,"On request","Main")</f>
        <v>Main</v>
      </c>
      <c r="I8" s="14" t="str">
        <f aca="false">IF(E8&gt;$B$2,"On request","Main")</f>
        <v>Main</v>
      </c>
    </row>
    <row r="9" customFormat="false" ht="15" hidden="false" customHeight="true" outlineLevel="0" collapsed="false">
      <c r="A9" s="16" t="n">
        <v>1.8</v>
      </c>
      <c r="B9" s="16" t="n">
        <v>1.5</v>
      </c>
      <c r="C9" s="16" t="n">
        <f aca="false">A9-B9</f>
        <v>0.3</v>
      </c>
      <c r="D9" s="17" t="n">
        <f aca="false">C9*$E$2</f>
        <v>0.06</v>
      </c>
      <c r="E9" s="17" t="n">
        <f aca="false">C9*$H$2</f>
        <v>0.12</v>
      </c>
      <c r="F9" s="18" t="str">
        <f aca="false">IF(A9&lt;=1.5,"1.5V dev","5V dev")</f>
        <v>5V dev</v>
      </c>
      <c r="G9" s="19" t="str">
        <f aca="false">IF(A9&lt;=1.5,"LV",IF(C9&lt;=1,"HV-A",IF(C9&lt;=2,"HV-B",IF(C9&lt;=3.5,"HV-C","HV-D"))))</f>
        <v>HV-A</v>
      </c>
      <c r="H9" s="18" t="str">
        <f aca="false">IF(D9&gt;$B$2,"On request","Main")</f>
        <v>Main</v>
      </c>
      <c r="I9" s="18" t="str">
        <f aca="false">IF(E9&gt;$B$2,"On request","Main")</f>
        <v>Main</v>
      </c>
    </row>
    <row r="10" customFormat="false" ht="15" hidden="false" customHeight="true" outlineLevel="0" collapsed="false">
      <c r="A10" s="12" t="n">
        <v>1.2</v>
      </c>
      <c r="B10" s="12" t="n">
        <v>0.8</v>
      </c>
      <c r="C10" s="12" t="n">
        <f aca="false">A10-B10</f>
        <v>0.4</v>
      </c>
      <c r="D10" s="13" t="n">
        <f aca="false">C10*$E$2</f>
        <v>0.08</v>
      </c>
      <c r="E10" s="13" t="n">
        <f aca="false">C10*$H$2</f>
        <v>0.16</v>
      </c>
      <c r="F10" s="14" t="str">
        <f aca="false">IF(A10&lt;=1.5,"1.5V dev","5V dev")</f>
        <v>1.5V dev</v>
      </c>
      <c r="G10" s="15" t="str">
        <f aca="false">IF(A10&lt;=1.5,"LV",IF(C10&lt;=1,"HV-A",IF(C10&lt;=2,"HV-B",IF(C10&lt;=3.5,"HV-C","HV-D"))))</f>
        <v>LV</v>
      </c>
      <c r="H10" s="14" t="str">
        <f aca="false">IF(D10&gt;$B$2,"On request","Main")</f>
        <v>Main</v>
      </c>
      <c r="I10" s="14" t="str">
        <f aca="false">IF(E10&gt;$B$2,"On request","Main")</f>
        <v>Main</v>
      </c>
    </row>
    <row r="11" customFormat="false" ht="15" hidden="false" customHeight="true" outlineLevel="0" collapsed="false">
      <c r="A11" s="12" t="n">
        <v>1.5</v>
      </c>
      <c r="B11" s="12" t="n">
        <v>1.1</v>
      </c>
      <c r="C11" s="12" t="n">
        <f aca="false">A11-B11</f>
        <v>0.4</v>
      </c>
      <c r="D11" s="13" t="n">
        <f aca="false">C11*$E$2</f>
        <v>0.08</v>
      </c>
      <c r="E11" s="13" t="n">
        <f aca="false">C11*$H$2</f>
        <v>0.16</v>
      </c>
      <c r="F11" s="14" t="str">
        <f aca="false">IF(A11&lt;=1.5,"1.5V dev","5V dev")</f>
        <v>1.5V dev</v>
      </c>
      <c r="G11" s="15" t="str">
        <f aca="false">IF(A11&lt;=1.5,"LV",IF(C11&lt;=1,"HV-A",IF(C11&lt;=2,"HV-B",IF(C11&lt;=3.5,"HV-C","HV-D"))))</f>
        <v>LV</v>
      </c>
      <c r="H11" s="14" t="str">
        <f aca="false">IF(D11&gt;$B$2,"On request","Main")</f>
        <v>Main</v>
      </c>
      <c r="I11" s="14" t="str">
        <f aca="false">IF(E11&gt;$B$2,"On request","Main")</f>
        <v>Main</v>
      </c>
    </row>
    <row r="12" customFormat="false" ht="15" hidden="false" customHeight="true" outlineLevel="0" collapsed="false">
      <c r="A12" s="16" t="n">
        <v>1.8</v>
      </c>
      <c r="B12" s="16" t="n">
        <v>1.35</v>
      </c>
      <c r="C12" s="16" t="n">
        <f aca="false">A12-B12</f>
        <v>0.45</v>
      </c>
      <c r="D12" s="17" t="n">
        <f aca="false">C12*$E$2</f>
        <v>0.09</v>
      </c>
      <c r="E12" s="17" t="n">
        <f aca="false">C12*$H$2</f>
        <v>0.18</v>
      </c>
      <c r="F12" s="18" t="str">
        <f aca="false">IF(A12&lt;=1.5,"1.5V dev","5V dev")</f>
        <v>5V dev</v>
      </c>
      <c r="G12" s="19" t="str">
        <f aca="false">IF(A12&lt;=1.5,"LV",IF(C12&lt;=1,"HV-A",IF(C12&lt;=2,"HV-B",IF(C12&lt;=3.5,"HV-C","HV-D"))))</f>
        <v>HV-A</v>
      </c>
      <c r="H12" s="18" t="str">
        <f aca="false">IF(D12&gt;$B$2,"On request","Main")</f>
        <v>Main</v>
      </c>
      <c r="I12" s="18" t="str">
        <f aca="false">IF(E12&gt;$B$2,"On request","Main")</f>
        <v>Main</v>
      </c>
    </row>
    <row r="13" customFormat="false" ht="15" hidden="false" customHeight="true" outlineLevel="0" collapsed="false">
      <c r="A13" s="12" t="n">
        <v>1.5</v>
      </c>
      <c r="B13" s="12" t="n">
        <v>1</v>
      </c>
      <c r="C13" s="12" t="n">
        <f aca="false">A13-B13</f>
        <v>0.5</v>
      </c>
      <c r="D13" s="13" t="n">
        <f aca="false">C13*$E$2</f>
        <v>0.1</v>
      </c>
      <c r="E13" s="13" t="n">
        <f aca="false">C13*$H$2</f>
        <v>0.2</v>
      </c>
      <c r="F13" s="14" t="str">
        <f aca="false">IF(A13&lt;=1.5,"1.5V dev","5V dev")</f>
        <v>1.5V dev</v>
      </c>
      <c r="G13" s="15" t="str">
        <f aca="false">IF(A13&lt;=1.5,"LV",IF(C13&lt;=1,"HV-A",IF(C13&lt;=2,"HV-B",IF(C13&lt;=3.5,"HV-C","HV-D"))))</f>
        <v>LV</v>
      </c>
      <c r="H13" s="14" t="str">
        <f aca="false">IF(D13&gt;$B$2,"On request","Main")</f>
        <v>Main</v>
      </c>
      <c r="I13" s="14" t="str">
        <f aca="false">IF(E13&gt;$B$2,"On request","Main")</f>
        <v>Main</v>
      </c>
    </row>
    <row r="14" customFormat="false" ht="15" hidden="false" customHeight="true" outlineLevel="0" collapsed="false">
      <c r="A14" s="16" t="n">
        <v>1.8</v>
      </c>
      <c r="B14" s="16" t="n">
        <v>1.2</v>
      </c>
      <c r="C14" s="16" t="n">
        <f aca="false">A14-B14</f>
        <v>0.6</v>
      </c>
      <c r="D14" s="17" t="n">
        <f aca="false">C14*$E$2</f>
        <v>0.12</v>
      </c>
      <c r="E14" s="17" t="n">
        <f aca="false">C14*$H$2</f>
        <v>0.24</v>
      </c>
      <c r="F14" s="18" t="str">
        <f aca="false">IF(A14&lt;=1.5,"1.5V dev","5V dev")</f>
        <v>5V dev</v>
      </c>
      <c r="G14" s="19" t="str">
        <f aca="false">IF(A14&lt;=1.5,"LV",IF(C14&lt;=1,"HV-A",IF(C14&lt;=2,"HV-B",IF(C14&lt;=3.5,"HV-C","HV-D"))))</f>
        <v>HV-A</v>
      </c>
      <c r="H14" s="18" t="str">
        <f aca="false">IF(D14&gt;$B$2,"On request","Main")</f>
        <v>Main</v>
      </c>
      <c r="I14" s="18" t="str">
        <f aca="false">IF(E14&gt;$B$2,"On request","Main")</f>
        <v>Main</v>
      </c>
    </row>
    <row r="15" customFormat="false" ht="15" hidden="false" customHeight="true" outlineLevel="0" collapsed="false">
      <c r="A15" s="12" t="n">
        <v>1.2</v>
      </c>
      <c r="B15" s="12" t="n">
        <v>0.5</v>
      </c>
      <c r="C15" s="12" t="n">
        <f aca="false">A15-B15</f>
        <v>0.7</v>
      </c>
      <c r="D15" s="13" t="n">
        <f aca="false">C15*$E$2</f>
        <v>0.14</v>
      </c>
      <c r="E15" s="13" t="n">
        <f aca="false">C15*$H$2</f>
        <v>0.28</v>
      </c>
      <c r="F15" s="14" t="str">
        <f aca="false">IF(A15&lt;=1.5,"1.5V dev","5V dev")</f>
        <v>1.5V dev</v>
      </c>
      <c r="G15" s="15" t="str">
        <f aca="false">IF(A15&lt;=1.5,"LV",IF(C15&lt;=1,"HV-A",IF(C15&lt;=2,"HV-B",IF(C15&lt;=3.5,"HV-C","HV-D"))))</f>
        <v>LV</v>
      </c>
      <c r="H15" s="14" t="str">
        <f aca="false">IF(D15&gt;$B$2,"On request","Main")</f>
        <v>Main</v>
      </c>
      <c r="I15" s="14" t="str">
        <f aca="false">IF(E15&gt;$B$2,"On request","Main")</f>
        <v>Main</v>
      </c>
    </row>
    <row r="16" customFormat="false" ht="15" hidden="false" customHeight="true" outlineLevel="0" collapsed="false">
      <c r="A16" s="12" t="n">
        <v>1.5</v>
      </c>
      <c r="B16" s="12" t="n">
        <v>0.8</v>
      </c>
      <c r="C16" s="12" t="n">
        <f aca="false">A16-B16</f>
        <v>0.7</v>
      </c>
      <c r="D16" s="13" t="n">
        <f aca="false">C16*$E$2</f>
        <v>0.14</v>
      </c>
      <c r="E16" s="13" t="n">
        <f aca="false">C16*$H$2</f>
        <v>0.28</v>
      </c>
      <c r="F16" s="14" t="str">
        <f aca="false">IF(A16&lt;=1.5,"1.5V dev","5V dev")</f>
        <v>1.5V dev</v>
      </c>
      <c r="G16" s="15" t="str">
        <f aca="false">IF(A16&lt;=1.5,"LV",IF(C16&lt;=1,"HV-A",IF(C16&lt;=2,"HV-B",IF(C16&lt;=3.5,"HV-C","HV-D"))))</f>
        <v>LV</v>
      </c>
      <c r="H16" s="14" t="str">
        <f aca="false">IF(D16&gt;$B$2,"On request","Main")</f>
        <v>Main</v>
      </c>
      <c r="I16" s="14" t="str">
        <f aca="false">IF(E16&gt;$B$2,"On request","Main")</f>
        <v>Main</v>
      </c>
    </row>
    <row r="17" customFormat="false" ht="15" hidden="false" customHeight="true" outlineLevel="0" collapsed="false">
      <c r="A17" s="16" t="n">
        <v>1.8</v>
      </c>
      <c r="B17" s="16" t="n">
        <v>1.1</v>
      </c>
      <c r="C17" s="16" t="n">
        <f aca="false">A17-B17</f>
        <v>0.7</v>
      </c>
      <c r="D17" s="17" t="n">
        <f aca="false">C17*$E$2</f>
        <v>0.14</v>
      </c>
      <c r="E17" s="17" t="n">
        <f aca="false">C17*$H$2</f>
        <v>0.28</v>
      </c>
      <c r="F17" s="18" t="str">
        <f aca="false">IF(A17&lt;=1.5,"1.5V dev","5V dev")</f>
        <v>5V dev</v>
      </c>
      <c r="G17" s="19" t="str">
        <f aca="false">IF(A17&lt;=1.5,"LV",IF(C17&lt;=1,"HV-A",IF(C17&lt;=2,"HV-B",IF(C17&lt;=3.5,"HV-C","HV-D"))))</f>
        <v>HV-A</v>
      </c>
      <c r="H17" s="18" t="str">
        <f aca="false">IF(D17&gt;$B$2,"On request","Main")</f>
        <v>Main</v>
      </c>
      <c r="I17" s="18" t="str">
        <f aca="false">IF(E17&gt;$B$2,"On request","Main")</f>
        <v>Main</v>
      </c>
    </row>
    <row r="18" customFormat="false" ht="15" hidden="false" customHeight="true" outlineLevel="0" collapsed="false">
      <c r="A18" s="16" t="n">
        <v>2.5</v>
      </c>
      <c r="B18" s="16" t="n">
        <v>1.8</v>
      </c>
      <c r="C18" s="16" t="n">
        <f aca="false">A18-B18</f>
        <v>0.7</v>
      </c>
      <c r="D18" s="17" t="n">
        <f aca="false">C18*$E$2</f>
        <v>0.14</v>
      </c>
      <c r="E18" s="17" t="n">
        <f aca="false">C18*$H$2</f>
        <v>0.28</v>
      </c>
      <c r="F18" s="18" t="str">
        <f aca="false">IF(A18&lt;=1.5,"1.5V dev","5V dev")</f>
        <v>5V dev</v>
      </c>
      <c r="G18" s="19" t="str">
        <f aca="false">IF(A18&lt;=1.5,"LV",IF(C18&lt;=1,"HV-A",IF(C18&lt;=2,"HV-B",IF(C18&lt;=3.5,"HV-C","HV-D"))))</f>
        <v>HV-A</v>
      </c>
      <c r="H18" s="18" t="str">
        <f aca="false">IF(D18&gt;$B$2,"On request","Main")</f>
        <v>Main</v>
      </c>
      <c r="I18" s="18" t="str">
        <f aca="false">IF(E18&gt;$B$2,"On request","Main")</f>
        <v>Main</v>
      </c>
    </row>
    <row r="19" customFormat="false" ht="15" hidden="false" customHeight="true" outlineLevel="0" collapsed="false">
      <c r="A19" s="16" t="n">
        <v>1.8</v>
      </c>
      <c r="B19" s="16" t="n">
        <v>1</v>
      </c>
      <c r="C19" s="16" t="n">
        <f aca="false">A19-B19</f>
        <v>0.8</v>
      </c>
      <c r="D19" s="17" t="n">
        <f aca="false">C19*$E$2</f>
        <v>0.16</v>
      </c>
      <c r="E19" s="17" t="n">
        <f aca="false">C19*$H$2</f>
        <v>0.32</v>
      </c>
      <c r="F19" s="18" t="str">
        <f aca="false">IF(A19&lt;=1.5,"1.5V dev","5V dev")</f>
        <v>5V dev</v>
      </c>
      <c r="G19" s="19" t="str">
        <f aca="false">IF(A19&lt;=1.5,"LV",IF(C19&lt;=1,"HV-A",IF(C19&lt;=2,"HV-B",IF(C19&lt;=3.5,"HV-C","HV-D"))))</f>
        <v>HV-A</v>
      </c>
      <c r="H19" s="18" t="str">
        <f aca="false">IF(D19&gt;$B$2,"On request","Main")</f>
        <v>Main</v>
      </c>
      <c r="I19" s="18" t="str">
        <f aca="false">IF(E19&gt;$B$2,"On request","Main")</f>
        <v>Main</v>
      </c>
    </row>
    <row r="20" customFormat="false" ht="15" hidden="false" customHeight="true" outlineLevel="0" collapsed="false">
      <c r="A20" s="16" t="n">
        <v>3.3</v>
      </c>
      <c r="B20" s="16" t="n">
        <v>2.5</v>
      </c>
      <c r="C20" s="16" t="n">
        <f aca="false">A20-B20</f>
        <v>0.8</v>
      </c>
      <c r="D20" s="17" t="n">
        <f aca="false">C20*$E$2</f>
        <v>0.16</v>
      </c>
      <c r="E20" s="17" t="n">
        <f aca="false">C20*$H$2</f>
        <v>0.32</v>
      </c>
      <c r="F20" s="18" t="str">
        <f aca="false">IF(A20&lt;=1.5,"1.5V dev","5V dev")</f>
        <v>5V dev</v>
      </c>
      <c r="G20" s="19" t="str">
        <f aca="false">IF(A20&lt;=1.5,"LV",IF(C20&lt;=1,"HV-A",IF(C20&lt;=2,"HV-B",IF(C20&lt;=3.5,"HV-C","HV-D"))))</f>
        <v>HV-A</v>
      </c>
      <c r="H20" s="18" t="str">
        <f aca="false">IF(D20&gt;$B$2,"On request","Main")</f>
        <v>Main</v>
      </c>
      <c r="I20" s="18" t="str">
        <f aca="false">IF(E20&gt;$B$2,"On request","Main")</f>
        <v>Main</v>
      </c>
    </row>
    <row r="21" customFormat="false" ht="15" hidden="false" customHeight="true" outlineLevel="0" collapsed="false">
      <c r="A21" s="12" t="n">
        <v>1.5</v>
      </c>
      <c r="B21" s="12" t="n">
        <v>0.5</v>
      </c>
      <c r="C21" s="12" t="n">
        <f aca="false">A21-B21</f>
        <v>1</v>
      </c>
      <c r="D21" s="13" t="n">
        <f aca="false">C21*$E$2</f>
        <v>0.2</v>
      </c>
      <c r="E21" s="13" t="n">
        <f aca="false">C21*$H$2</f>
        <v>0.4</v>
      </c>
      <c r="F21" s="14" t="str">
        <f aca="false">IF(A21&lt;=1.5,"1.5V dev","5V dev")</f>
        <v>1.5V dev</v>
      </c>
      <c r="G21" s="15" t="str">
        <f aca="false">IF(A21&lt;=1.5,"LV",IF(C21&lt;=1,"HV-A",IF(C21&lt;=2,"HV-B",IF(C21&lt;=3.5,"HV-C","HV-D"))))</f>
        <v>LV</v>
      </c>
      <c r="H21" s="14" t="str">
        <f aca="false">IF(D21&gt;$B$2,"On request","Main")</f>
        <v>Main</v>
      </c>
      <c r="I21" s="14" t="str">
        <f aca="false">IF(E21&gt;$B$2,"On request","Main")</f>
        <v>Main</v>
      </c>
    </row>
    <row r="22" customFormat="false" ht="15" hidden="false" customHeight="true" outlineLevel="0" collapsed="false">
      <c r="A22" s="16" t="n">
        <v>1.8</v>
      </c>
      <c r="B22" s="16" t="n">
        <v>0.8</v>
      </c>
      <c r="C22" s="16" t="n">
        <f aca="false">A22-B22</f>
        <v>1</v>
      </c>
      <c r="D22" s="17" t="n">
        <f aca="false">C22*$E$2</f>
        <v>0.2</v>
      </c>
      <c r="E22" s="17" t="n">
        <f aca="false">C22*$H$2</f>
        <v>0.4</v>
      </c>
      <c r="F22" s="18" t="str">
        <f aca="false">IF(A22&lt;=1.5,"1.5V dev","5V dev")</f>
        <v>5V dev</v>
      </c>
      <c r="G22" s="19" t="str">
        <f aca="false">IF(A22&lt;=1.5,"LV",IF(C22&lt;=1,"HV-A",IF(C22&lt;=2,"HV-B",IF(C22&lt;=3.5,"HV-C","HV-D"))))</f>
        <v>HV-A</v>
      </c>
      <c r="H22" s="18" t="str">
        <f aca="false">IF(D22&gt;$B$2,"On request","Main")</f>
        <v>Main</v>
      </c>
      <c r="I22" s="18" t="str">
        <f aca="false">IF(E22&gt;$B$2,"On request","Main")</f>
        <v>Main</v>
      </c>
    </row>
    <row r="23" customFormat="false" ht="15" hidden="false" customHeight="true" outlineLevel="0" collapsed="false">
      <c r="A23" s="16" t="n">
        <v>2.5</v>
      </c>
      <c r="B23" s="16" t="n">
        <v>1.5</v>
      </c>
      <c r="C23" s="16" t="n">
        <f aca="false">A23-B23</f>
        <v>1</v>
      </c>
      <c r="D23" s="17" t="n">
        <f aca="false">C23*$E$2</f>
        <v>0.2</v>
      </c>
      <c r="E23" s="17" t="n">
        <f aca="false">C23*$H$2</f>
        <v>0.4</v>
      </c>
      <c r="F23" s="18" t="str">
        <f aca="false">IF(A23&lt;=1.5,"1.5V dev","5V dev")</f>
        <v>5V dev</v>
      </c>
      <c r="G23" s="19" t="str">
        <f aca="false">IF(A23&lt;=1.5,"LV",IF(C23&lt;=1,"HV-A",IF(C23&lt;=2,"HV-B",IF(C23&lt;=3.5,"HV-C","HV-D"))))</f>
        <v>HV-A</v>
      </c>
      <c r="H23" s="18" t="str">
        <f aca="false">IF(D23&gt;$B$2,"On request","Main")</f>
        <v>Main</v>
      </c>
      <c r="I23" s="18" t="str">
        <f aca="false">IF(E23&gt;$B$2,"On request","Main")</f>
        <v>Main</v>
      </c>
    </row>
    <row r="24" customFormat="false" ht="15" hidden="false" customHeight="true" outlineLevel="0" collapsed="false">
      <c r="A24" s="20" t="n">
        <v>2.5</v>
      </c>
      <c r="B24" s="20" t="n">
        <v>1.35</v>
      </c>
      <c r="C24" s="20" t="n">
        <f aca="false">A24-B24</f>
        <v>1.15</v>
      </c>
      <c r="D24" s="21" t="n">
        <f aca="false">C24*$E$2</f>
        <v>0.23</v>
      </c>
      <c r="E24" s="21" t="n">
        <f aca="false">C24*$H$2</f>
        <v>0.46</v>
      </c>
      <c r="F24" s="22" t="str">
        <f aca="false">IF(A24&lt;=1.5,"1.5V dev","5V dev")</f>
        <v>5V dev</v>
      </c>
      <c r="G24" s="23" t="str">
        <f aca="false">IF(A24&lt;=1.5,"LV",IF(C24&lt;=1,"HV-A",IF(C24&lt;=2,"HV-B",IF(C24&lt;=3.5,"HV-C","HV-D"))))</f>
        <v>HV-B</v>
      </c>
      <c r="H24" s="22" t="str">
        <f aca="false">IF(D24&gt;$B$2,"On request","Main")</f>
        <v>Main</v>
      </c>
      <c r="I24" s="22" t="str">
        <f aca="false">IF(E24&gt;$B$2,"On request","Main")</f>
        <v>Main</v>
      </c>
    </row>
    <row r="25" customFormat="false" ht="15" hidden="false" customHeight="true" outlineLevel="0" collapsed="false">
      <c r="A25" s="20" t="n">
        <v>1.8</v>
      </c>
      <c r="B25" s="20" t="n">
        <v>0.5</v>
      </c>
      <c r="C25" s="20" t="n">
        <f aca="false">A25-B25</f>
        <v>1.3</v>
      </c>
      <c r="D25" s="21" t="n">
        <f aca="false">C25*$E$2</f>
        <v>0.26</v>
      </c>
      <c r="E25" s="21" t="n">
        <f aca="false">C25*$H$2</f>
        <v>0.52</v>
      </c>
      <c r="F25" s="22" t="str">
        <f aca="false">IF(A25&lt;=1.5,"1.5V dev","5V dev")</f>
        <v>5V dev</v>
      </c>
      <c r="G25" s="23" t="str">
        <f aca="false">IF(A25&lt;=1.5,"LV",IF(C25&lt;=1,"HV-A",IF(C25&lt;=2,"HV-B",IF(C25&lt;=3.5,"HV-C","HV-D"))))</f>
        <v>HV-B</v>
      </c>
      <c r="H25" s="22" t="str">
        <f aca="false">IF(D25&gt;$B$2,"On request","Main")</f>
        <v>Main</v>
      </c>
      <c r="I25" s="22" t="str">
        <f aca="false">IF(E25&gt;$B$2,"On request","Main")</f>
        <v>Main</v>
      </c>
    </row>
    <row r="26" customFormat="false" ht="15" hidden="false" customHeight="true" outlineLevel="0" collapsed="false">
      <c r="A26" s="20" t="n">
        <v>2.5</v>
      </c>
      <c r="B26" s="20" t="n">
        <v>1.2</v>
      </c>
      <c r="C26" s="20" t="n">
        <f aca="false">A26-B26</f>
        <v>1.3</v>
      </c>
      <c r="D26" s="21" t="n">
        <f aca="false">C26*$E$2</f>
        <v>0.26</v>
      </c>
      <c r="E26" s="21" t="n">
        <f aca="false">C26*$H$2</f>
        <v>0.52</v>
      </c>
      <c r="F26" s="22" t="str">
        <f aca="false">IF(A26&lt;=1.5,"1.5V dev","5V dev")</f>
        <v>5V dev</v>
      </c>
      <c r="G26" s="23" t="str">
        <f aca="false">IF(A26&lt;=1.5,"LV",IF(C26&lt;=1,"HV-A",IF(C26&lt;=2,"HV-B",IF(C26&lt;=3.5,"HV-C","HV-D"))))</f>
        <v>HV-B</v>
      </c>
      <c r="H26" s="22" t="str">
        <f aca="false">IF(D26&gt;$B$2,"On request","Main")</f>
        <v>Main</v>
      </c>
      <c r="I26" s="22" t="str">
        <f aca="false">IF(E26&gt;$B$2,"On request","Main")</f>
        <v>Main</v>
      </c>
    </row>
    <row r="27" customFormat="false" ht="15" hidden="false" customHeight="true" outlineLevel="0" collapsed="false">
      <c r="A27" s="20" t="n">
        <v>2.5</v>
      </c>
      <c r="B27" s="20" t="n">
        <v>1.1</v>
      </c>
      <c r="C27" s="20" t="n">
        <f aca="false">A27-B27</f>
        <v>1.4</v>
      </c>
      <c r="D27" s="21" t="n">
        <f aca="false">C27*$E$2</f>
        <v>0.28</v>
      </c>
      <c r="E27" s="21" t="n">
        <f aca="false">C27*$H$2</f>
        <v>0.56</v>
      </c>
      <c r="F27" s="22" t="str">
        <f aca="false">IF(A27&lt;=1.5,"1.5V dev","5V dev")</f>
        <v>5V dev</v>
      </c>
      <c r="G27" s="23" t="str">
        <f aca="false">IF(A27&lt;=1.5,"LV",IF(C27&lt;=1,"HV-A",IF(C27&lt;=2,"HV-B",IF(C27&lt;=3.5,"HV-C","HV-D"))))</f>
        <v>HV-B</v>
      </c>
      <c r="H27" s="22" t="str">
        <f aca="false">IF(D27&gt;$B$2,"On request","Main")</f>
        <v>Main</v>
      </c>
      <c r="I27" s="22" t="str">
        <f aca="false">IF(E27&gt;$B$2,"On request","Main")</f>
        <v>Main</v>
      </c>
    </row>
    <row r="28" customFormat="false" ht="15" hidden="false" customHeight="true" outlineLevel="0" collapsed="false">
      <c r="A28" s="20" t="n">
        <v>2.5</v>
      </c>
      <c r="B28" s="20" t="n">
        <v>1</v>
      </c>
      <c r="C28" s="20" t="n">
        <f aca="false">A28-B28</f>
        <v>1.5</v>
      </c>
      <c r="D28" s="21" t="n">
        <f aca="false">C28*$E$2</f>
        <v>0.3</v>
      </c>
      <c r="E28" s="21" t="n">
        <f aca="false">C28*$H$2</f>
        <v>0.6</v>
      </c>
      <c r="F28" s="22" t="str">
        <f aca="false">IF(A28&lt;=1.5,"1.5V dev","5V dev")</f>
        <v>5V dev</v>
      </c>
      <c r="G28" s="23" t="str">
        <f aca="false">IF(A28&lt;=1.5,"LV",IF(C28&lt;=1,"HV-A",IF(C28&lt;=2,"HV-B",IF(C28&lt;=3.5,"HV-C","HV-D"))))</f>
        <v>HV-B</v>
      </c>
      <c r="H28" s="22" t="str">
        <f aca="false">IF(D28&gt;$B$2,"On request","Main")</f>
        <v>Main</v>
      </c>
      <c r="I28" s="22" t="str">
        <f aca="false">IF(E28&gt;$B$2,"On request","Main")</f>
        <v>Main</v>
      </c>
    </row>
    <row r="29" customFormat="false" ht="15" hidden="false" customHeight="true" outlineLevel="0" collapsed="false">
      <c r="A29" s="20" t="n">
        <v>3.3</v>
      </c>
      <c r="B29" s="20" t="n">
        <v>1.8</v>
      </c>
      <c r="C29" s="20" t="n">
        <f aca="false">A29-B29</f>
        <v>1.5</v>
      </c>
      <c r="D29" s="21" t="n">
        <f aca="false">C29*$E$2</f>
        <v>0.3</v>
      </c>
      <c r="E29" s="21" t="n">
        <f aca="false">C29*$H$2</f>
        <v>0.6</v>
      </c>
      <c r="F29" s="22" t="str">
        <f aca="false">IF(A29&lt;=1.5,"1.5V dev","5V dev")</f>
        <v>5V dev</v>
      </c>
      <c r="G29" s="23" t="str">
        <f aca="false">IF(A29&lt;=1.5,"LV",IF(C29&lt;=1,"HV-A",IF(C29&lt;=2,"HV-B",IF(C29&lt;=3.5,"HV-C","HV-D"))))</f>
        <v>HV-B</v>
      </c>
      <c r="H29" s="22" t="str">
        <f aca="false">IF(D29&gt;$B$2,"On request","Main")</f>
        <v>Main</v>
      </c>
      <c r="I29" s="22" t="str">
        <f aca="false">IF(E29&gt;$B$2,"On request","Main")</f>
        <v>Main</v>
      </c>
    </row>
    <row r="30" customFormat="false" ht="15" hidden="false" customHeight="true" outlineLevel="0" collapsed="false">
      <c r="A30" s="20" t="n">
        <v>2.5</v>
      </c>
      <c r="B30" s="20" t="n">
        <v>0.8</v>
      </c>
      <c r="C30" s="20" t="n">
        <f aca="false">A30-B30</f>
        <v>1.7</v>
      </c>
      <c r="D30" s="21" t="n">
        <f aca="false">C30*$E$2</f>
        <v>0.34</v>
      </c>
      <c r="E30" s="21" t="n">
        <f aca="false">C30*$H$2</f>
        <v>0.68</v>
      </c>
      <c r="F30" s="22" t="str">
        <f aca="false">IF(A30&lt;=1.5,"1.5V dev","5V dev")</f>
        <v>5V dev</v>
      </c>
      <c r="G30" s="23" t="str">
        <f aca="false">IF(A30&lt;=1.5,"LV",IF(C30&lt;=1,"HV-A",IF(C30&lt;=2,"HV-B",IF(C30&lt;=3.5,"HV-C","HV-D"))))</f>
        <v>HV-B</v>
      </c>
      <c r="H30" s="22" t="str">
        <f aca="false">IF(D30&gt;$B$2,"On request","Main")</f>
        <v>Main</v>
      </c>
      <c r="I30" s="22" t="str">
        <f aca="false">IF(E30&gt;$B$2,"On request","Main")</f>
        <v>On request</v>
      </c>
    </row>
    <row r="31" customFormat="false" ht="15" hidden="false" customHeight="true" outlineLevel="0" collapsed="false">
      <c r="A31" s="20" t="n">
        <v>5</v>
      </c>
      <c r="B31" s="20" t="n">
        <v>3.3</v>
      </c>
      <c r="C31" s="20" t="n">
        <f aca="false">A31-B31</f>
        <v>1.7</v>
      </c>
      <c r="D31" s="21" t="n">
        <f aca="false">C31*$E$2</f>
        <v>0.34</v>
      </c>
      <c r="E31" s="21" t="n">
        <f aca="false">C31*$H$2</f>
        <v>0.68</v>
      </c>
      <c r="F31" s="22" t="str">
        <f aca="false">IF(A31&lt;=1.5,"1.5V dev","5V dev")</f>
        <v>5V dev</v>
      </c>
      <c r="G31" s="23" t="str">
        <f aca="false">IF(A31&lt;=1.5,"LV",IF(C31&lt;=1,"HV-A",IF(C31&lt;=2,"HV-B",IF(C31&lt;=3.5,"HV-C","HV-D"))))</f>
        <v>HV-B</v>
      </c>
      <c r="H31" s="22" t="str">
        <f aca="false">IF(D31&gt;$B$2,"On request","Main")</f>
        <v>Main</v>
      </c>
      <c r="I31" s="22" t="str">
        <f aca="false">IF(E31&gt;$B$2,"On request","Main")</f>
        <v>On request</v>
      </c>
    </row>
    <row r="32" customFormat="false" ht="15" hidden="false" customHeight="true" outlineLevel="0" collapsed="false">
      <c r="A32" s="20" t="n">
        <v>3.3</v>
      </c>
      <c r="B32" s="20" t="n">
        <v>1.5</v>
      </c>
      <c r="C32" s="20" t="n">
        <f aca="false">A32-B32</f>
        <v>1.8</v>
      </c>
      <c r="D32" s="21" t="n">
        <f aca="false">C32*$E$2</f>
        <v>0.36</v>
      </c>
      <c r="E32" s="21" t="n">
        <f aca="false">C32*$H$2</f>
        <v>0.72</v>
      </c>
      <c r="F32" s="22" t="str">
        <f aca="false">IF(A32&lt;=1.5,"1.5V dev","5V dev")</f>
        <v>5V dev</v>
      </c>
      <c r="G32" s="23" t="str">
        <f aca="false">IF(A32&lt;=1.5,"LV",IF(C32&lt;=1,"HV-A",IF(C32&lt;=2,"HV-B",IF(C32&lt;=3.5,"HV-C","HV-D"))))</f>
        <v>HV-B</v>
      </c>
      <c r="H32" s="22" t="str">
        <f aca="false">IF(D32&gt;$B$2,"On request","Main")</f>
        <v>Main</v>
      </c>
      <c r="I32" s="22" t="str">
        <f aca="false">IF(E32&gt;$B$2,"On request","Main")</f>
        <v>On request</v>
      </c>
    </row>
    <row r="33" customFormat="false" ht="15" hidden="false" customHeight="true" outlineLevel="0" collapsed="false">
      <c r="A33" s="20" t="n">
        <v>3.3</v>
      </c>
      <c r="B33" s="20" t="n">
        <v>1.35</v>
      </c>
      <c r="C33" s="20" t="n">
        <f aca="false">A33-B33</f>
        <v>1.95</v>
      </c>
      <c r="D33" s="21" t="n">
        <f aca="false">C33*$E$2</f>
        <v>0.39</v>
      </c>
      <c r="E33" s="21" t="n">
        <f aca="false">C33*$H$2</f>
        <v>0.78</v>
      </c>
      <c r="F33" s="22" t="str">
        <f aca="false">IF(A33&lt;=1.5,"1.5V dev","5V dev")</f>
        <v>5V dev</v>
      </c>
      <c r="G33" s="23" t="str">
        <f aca="false">IF(A33&lt;=1.5,"LV",IF(C33&lt;=1,"HV-A",IF(C33&lt;=2,"HV-B",IF(C33&lt;=3.5,"HV-C","HV-D"))))</f>
        <v>HV-B</v>
      </c>
      <c r="H33" s="22" t="str">
        <f aca="false">IF(D33&gt;$B$2,"On request","Main")</f>
        <v>Main</v>
      </c>
      <c r="I33" s="22" t="str">
        <f aca="false">IF(E33&gt;$B$2,"On request","Main")</f>
        <v>On request</v>
      </c>
    </row>
    <row r="34" customFormat="false" ht="15" hidden="false" customHeight="true" outlineLevel="0" collapsed="false">
      <c r="A34" s="20" t="n">
        <v>2.5</v>
      </c>
      <c r="B34" s="20" t="n">
        <v>0.5</v>
      </c>
      <c r="C34" s="20" t="n">
        <f aca="false">A34-B34</f>
        <v>2</v>
      </c>
      <c r="D34" s="21" t="n">
        <f aca="false">C34*$E$2</f>
        <v>0.4</v>
      </c>
      <c r="E34" s="21" t="n">
        <f aca="false">C34*$H$2</f>
        <v>0.8</v>
      </c>
      <c r="F34" s="22" t="str">
        <f aca="false">IF(A34&lt;=1.5,"1.5V dev","5V dev")</f>
        <v>5V dev</v>
      </c>
      <c r="G34" s="23" t="str">
        <f aca="false">IF(A34&lt;=1.5,"LV",IF(C34&lt;=1,"HV-A",IF(C34&lt;=2,"HV-B",IF(C34&lt;=3.5,"HV-C","HV-D"))))</f>
        <v>HV-B</v>
      </c>
      <c r="H34" s="22" t="str">
        <f aca="false">IF(D34&gt;$B$2,"On request","Main")</f>
        <v>Main</v>
      </c>
      <c r="I34" s="22" t="str">
        <f aca="false">IF(E34&gt;$B$2,"On request","Main")</f>
        <v>On request</v>
      </c>
    </row>
    <row r="35" customFormat="false" ht="15" hidden="false" customHeight="true" outlineLevel="0" collapsed="false">
      <c r="A35" s="24" t="n">
        <v>3.3</v>
      </c>
      <c r="B35" s="24" t="n">
        <v>1.2</v>
      </c>
      <c r="C35" s="24" t="n">
        <f aca="false">A35-B35</f>
        <v>2.1</v>
      </c>
      <c r="D35" s="25" t="n">
        <f aca="false">C35*$E$2</f>
        <v>0.42</v>
      </c>
      <c r="E35" s="25" t="n">
        <f aca="false">C35*$H$2</f>
        <v>0.84</v>
      </c>
      <c r="F35" s="26" t="str">
        <f aca="false">IF(A35&lt;=1.5,"1.5V dev","5V dev")</f>
        <v>5V dev</v>
      </c>
      <c r="G35" s="27" t="str">
        <f aca="false">IF(A35&lt;=1.5,"LV",IF(C35&lt;=1,"HV-A",IF(C35&lt;=2,"HV-B",IF(C35&lt;=3.5,"HV-C","HV-D"))))</f>
        <v>HV-C</v>
      </c>
      <c r="H35" s="26" t="str">
        <f aca="false">IF(D35&gt;$B$2,"On request","Main")</f>
        <v>Main</v>
      </c>
      <c r="I35" s="26" t="str">
        <f aca="false">IF(E35&gt;$B$2,"On request","Main")</f>
        <v>On request</v>
      </c>
    </row>
    <row r="36" customFormat="false" ht="15" hidden="false" customHeight="true" outlineLevel="0" collapsed="false">
      <c r="A36" s="24" t="n">
        <v>3.3</v>
      </c>
      <c r="B36" s="24" t="n">
        <v>1.1</v>
      </c>
      <c r="C36" s="24" t="n">
        <f aca="false">A36-B36</f>
        <v>2.2</v>
      </c>
      <c r="D36" s="25" t="n">
        <f aca="false">C36*$E$2</f>
        <v>0.44</v>
      </c>
      <c r="E36" s="25" t="n">
        <f aca="false">C36*$H$2</f>
        <v>0.88</v>
      </c>
      <c r="F36" s="26" t="str">
        <f aca="false">IF(A36&lt;=1.5,"1.5V dev","5V dev")</f>
        <v>5V dev</v>
      </c>
      <c r="G36" s="27" t="str">
        <f aca="false">IF(A36&lt;=1.5,"LV",IF(C36&lt;=1,"HV-A",IF(C36&lt;=2,"HV-B",IF(C36&lt;=3.5,"HV-C","HV-D"))))</f>
        <v>HV-C</v>
      </c>
      <c r="H36" s="26" t="str">
        <f aca="false">IF(D36&gt;$B$2,"On request","Main")</f>
        <v>Main</v>
      </c>
      <c r="I36" s="26" t="str">
        <f aca="false">IF(E36&gt;$B$2,"On request","Main")</f>
        <v>On request</v>
      </c>
    </row>
    <row r="37" customFormat="false" ht="15" hidden="false" customHeight="true" outlineLevel="0" collapsed="false">
      <c r="A37" s="24" t="n">
        <v>3.3</v>
      </c>
      <c r="B37" s="24" t="n">
        <v>1</v>
      </c>
      <c r="C37" s="24" t="n">
        <f aca="false">A37-B37</f>
        <v>2.3</v>
      </c>
      <c r="D37" s="25" t="n">
        <f aca="false">C37*$E$2</f>
        <v>0.46</v>
      </c>
      <c r="E37" s="25" t="n">
        <f aca="false">C37*$H$2</f>
        <v>0.92</v>
      </c>
      <c r="F37" s="26" t="str">
        <f aca="false">IF(A37&lt;=1.5,"1.5V dev","5V dev")</f>
        <v>5V dev</v>
      </c>
      <c r="G37" s="27" t="str">
        <f aca="false">IF(A37&lt;=1.5,"LV",IF(C37&lt;=1,"HV-A",IF(C37&lt;=2,"HV-B",IF(C37&lt;=3.5,"HV-C","HV-D"))))</f>
        <v>HV-C</v>
      </c>
      <c r="H37" s="26" t="str">
        <f aca="false">IF(D37&gt;$B$2,"On request","Main")</f>
        <v>Main</v>
      </c>
      <c r="I37" s="26" t="str">
        <f aca="false">IF(E37&gt;$B$2,"On request","Main")</f>
        <v>On request</v>
      </c>
    </row>
    <row r="38" customFormat="false" ht="15" hidden="false" customHeight="true" outlineLevel="0" collapsed="false">
      <c r="A38" s="24" t="n">
        <v>3.3</v>
      </c>
      <c r="B38" s="24" t="n">
        <v>0.8</v>
      </c>
      <c r="C38" s="24" t="n">
        <f aca="false">A38-B38</f>
        <v>2.5</v>
      </c>
      <c r="D38" s="25" t="n">
        <f aca="false">C38*$E$2</f>
        <v>0.5</v>
      </c>
      <c r="E38" s="25" t="n">
        <f aca="false">C38*$H$2</f>
        <v>1</v>
      </c>
      <c r="F38" s="26" t="str">
        <f aca="false">IF(A38&lt;=1.5,"1.5V dev","5V dev")</f>
        <v>5V dev</v>
      </c>
      <c r="G38" s="27" t="str">
        <f aca="false">IF(A38&lt;=1.5,"LV",IF(C38&lt;=1,"HV-A",IF(C38&lt;=2,"HV-B",IF(C38&lt;=3.5,"HV-C","HV-D"))))</f>
        <v>HV-C</v>
      </c>
      <c r="H38" s="26" t="str">
        <f aca="false">IF(D38&gt;$B$2,"On request","Main")</f>
        <v>Main</v>
      </c>
      <c r="I38" s="26" t="str">
        <f aca="false">IF(E38&gt;$B$2,"On request","Main")</f>
        <v>On request</v>
      </c>
    </row>
    <row r="39" customFormat="false" ht="15" hidden="false" customHeight="true" outlineLevel="0" collapsed="false">
      <c r="A39" s="24" t="n">
        <v>5</v>
      </c>
      <c r="B39" s="24" t="n">
        <v>2.5</v>
      </c>
      <c r="C39" s="24" t="n">
        <f aca="false">A39-B39</f>
        <v>2.5</v>
      </c>
      <c r="D39" s="25" t="n">
        <f aca="false">C39*$E$2</f>
        <v>0.5</v>
      </c>
      <c r="E39" s="25" t="n">
        <f aca="false">C39*$H$2</f>
        <v>1</v>
      </c>
      <c r="F39" s="26" t="str">
        <f aca="false">IF(A39&lt;=1.5,"1.5V dev","5V dev")</f>
        <v>5V dev</v>
      </c>
      <c r="G39" s="27" t="str">
        <f aca="false">IF(A39&lt;=1.5,"LV",IF(C39&lt;=1,"HV-A",IF(C39&lt;=2,"HV-B",IF(C39&lt;=3.5,"HV-C","HV-D"))))</f>
        <v>HV-C</v>
      </c>
      <c r="H39" s="26" t="str">
        <f aca="false">IF(D39&gt;$B$2,"On request","Main")</f>
        <v>Main</v>
      </c>
      <c r="I39" s="26" t="str">
        <f aca="false">IF(E39&gt;$B$2,"On request","Main")</f>
        <v>On request</v>
      </c>
    </row>
    <row r="40" customFormat="false" ht="15" hidden="false" customHeight="true" outlineLevel="0" collapsed="false">
      <c r="A40" s="24" t="n">
        <v>3.3</v>
      </c>
      <c r="B40" s="24" t="n">
        <v>0.5</v>
      </c>
      <c r="C40" s="24" t="n">
        <f aca="false">A40-B40</f>
        <v>2.8</v>
      </c>
      <c r="D40" s="25" t="n">
        <f aca="false">C40*$E$2</f>
        <v>0.56</v>
      </c>
      <c r="E40" s="25" t="n">
        <f aca="false">C40*$H$2</f>
        <v>1.12</v>
      </c>
      <c r="F40" s="26" t="str">
        <f aca="false">IF(A40&lt;=1.5,"1.5V dev","5V dev")</f>
        <v>5V dev</v>
      </c>
      <c r="G40" s="27" t="str">
        <f aca="false">IF(A40&lt;=1.5,"LV",IF(C40&lt;=1,"HV-A",IF(C40&lt;=2,"HV-B",IF(C40&lt;=3.5,"HV-C","HV-D"))))</f>
        <v>HV-C</v>
      </c>
      <c r="H40" s="26" t="str">
        <f aca="false">IF(D40&gt;$B$2,"On request","Main")</f>
        <v>Main</v>
      </c>
      <c r="I40" s="26" t="str">
        <f aca="false">IF(E40&gt;$B$2,"On request","Main")</f>
        <v>On request</v>
      </c>
    </row>
    <row r="41" customFormat="false" ht="15" hidden="false" customHeight="true" outlineLevel="0" collapsed="false">
      <c r="A41" s="24" t="n">
        <v>5</v>
      </c>
      <c r="B41" s="24" t="n">
        <v>1.8</v>
      </c>
      <c r="C41" s="24" t="n">
        <f aca="false">A41-B41</f>
        <v>3.2</v>
      </c>
      <c r="D41" s="25" t="n">
        <f aca="false">C41*$E$2</f>
        <v>0.64</v>
      </c>
      <c r="E41" s="25" t="n">
        <f aca="false">C41*$H$2</f>
        <v>1.28</v>
      </c>
      <c r="F41" s="26" t="str">
        <f aca="false">IF(A41&lt;=1.5,"1.5V dev","5V dev")</f>
        <v>5V dev</v>
      </c>
      <c r="G41" s="27" t="str">
        <f aca="false">IF(A41&lt;=1.5,"LV",IF(C41&lt;=1,"HV-A",IF(C41&lt;=2,"HV-B",IF(C41&lt;=3.5,"HV-C","HV-D"))))</f>
        <v>HV-C</v>
      </c>
      <c r="H41" s="26" t="str">
        <f aca="false">IF(D41&gt;$B$2,"On request","Main")</f>
        <v>On request</v>
      </c>
      <c r="I41" s="26" t="str">
        <f aca="false">IF(E41&gt;$B$2,"On request","Main")</f>
        <v>On request</v>
      </c>
    </row>
    <row r="42" customFormat="false" ht="15" hidden="false" customHeight="true" outlineLevel="0" collapsed="false">
      <c r="A42" s="24" t="n">
        <v>5</v>
      </c>
      <c r="B42" s="24" t="n">
        <v>1.5</v>
      </c>
      <c r="C42" s="24" t="n">
        <f aca="false">A42-B42</f>
        <v>3.5</v>
      </c>
      <c r="D42" s="25" t="n">
        <f aca="false">C42*$E$2</f>
        <v>0.7</v>
      </c>
      <c r="E42" s="25" t="n">
        <f aca="false">C42*$H$2</f>
        <v>1.4</v>
      </c>
      <c r="F42" s="26" t="str">
        <f aca="false">IF(A42&lt;=1.5,"1.5V dev","5V dev")</f>
        <v>5V dev</v>
      </c>
      <c r="G42" s="27" t="str">
        <f aca="false">IF(A42&lt;=1.5,"LV",IF(C42&lt;=1,"HV-A",IF(C42&lt;=2,"HV-B",IF(C42&lt;=3.5,"HV-C","HV-D"))))</f>
        <v>HV-C</v>
      </c>
      <c r="H42" s="26" t="str">
        <f aca="false">IF(D42&gt;$B$2,"On request","Main")</f>
        <v>On request</v>
      </c>
      <c r="I42" s="26" t="str">
        <f aca="false">IF(E42&gt;$B$2,"On request","Main")</f>
        <v>On request</v>
      </c>
    </row>
    <row r="43" customFormat="false" ht="15" hidden="false" customHeight="true" outlineLevel="0" collapsed="false">
      <c r="A43" s="28" t="n">
        <v>5</v>
      </c>
      <c r="B43" s="28" t="n">
        <v>1.35</v>
      </c>
      <c r="C43" s="28" t="n">
        <f aca="false">A43-B43</f>
        <v>3.65</v>
      </c>
      <c r="D43" s="29" t="n">
        <f aca="false">C43*$E$2</f>
        <v>0.73</v>
      </c>
      <c r="E43" s="29" t="n">
        <f aca="false">C43*$H$2</f>
        <v>1.46</v>
      </c>
      <c r="F43" s="30" t="str">
        <f aca="false">IF(A43&lt;=1.5,"1.5V dev","5V dev")</f>
        <v>5V dev</v>
      </c>
      <c r="G43" s="31" t="str">
        <f aca="false">IF(A43&lt;=1.5,"LV",IF(C43&lt;=1,"HV-A",IF(C43&lt;=2,"HV-B",IF(C43&lt;=3.5,"HV-C","HV-D"))))</f>
        <v>HV-D</v>
      </c>
      <c r="H43" s="30" t="str">
        <f aca="false">IF(D43&gt;$B$2,"On request","Main")</f>
        <v>On request</v>
      </c>
      <c r="I43" s="30" t="str">
        <f aca="false">IF(E43&gt;$B$2,"On request","Main")</f>
        <v>On request</v>
      </c>
    </row>
    <row r="44" customFormat="false" ht="15" hidden="false" customHeight="true" outlineLevel="0" collapsed="false">
      <c r="A44" s="28" t="n">
        <v>5</v>
      </c>
      <c r="B44" s="28" t="n">
        <v>1.2</v>
      </c>
      <c r="C44" s="28" t="n">
        <f aca="false">A44-B44</f>
        <v>3.8</v>
      </c>
      <c r="D44" s="29" t="n">
        <f aca="false">C44*$E$2</f>
        <v>0.76</v>
      </c>
      <c r="E44" s="29" t="n">
        <f aca="false">C44*$H$2</f>
        <v>1.52</v>
      </c>
      <c r="F44" s="30" t="str">
        <f aca="false">IF(A44&lt;=1.5,"1.5V dev","5V dev")</f>
        <v>5V dev</v>
      </c>
      <c r="G44" s="31" t="str">
        <f aca="false">IF(A44&lt;=1.5,"LV",IF(C44&lt;=1,"HV-A",IF(C44&lt;=2,"HV-B",IF(C44&lt;=3.5,"HV-C","HV-D"))))</f>
        <v>HV-D</v>
      </c>
      <c r="H44" s="30" t="str">
        <f aca="false">IF(D44&gt;$B$2,"On request","Main")</f>
        <v>On request</v>
      </c>
      <c r="I44" s="30" t="str">
        <f aca="false">IF(E44&gt;$B$2,"On request","Main")</f>
        <v>On request</v>
      </c>
    </row>
    <row r="45" customFormat="false" ht="15" hidden="false" customHeight="true" outlineLevel="0" collapsed="false">
      <c r="A45" s="28" t="n">
        <v>5</v>
      </c>
      <c r="B45" s="28" t="n">
        <v>1.1</v>
      </c>
      <c r="C45" s="28" t="n">
        <f aca="false">A45-B45</f>
        <v>3.9</v>
      </c>
      <c r="D45" s="29" t="n">
        <f aca="false">C45*$E$2</f>
        <v>0.78</v>
      </c>
      <c r="E45" s="29" t="n">
        <f aca="false">C45*$H$2</f>
        <v>1.56</v>
      </c>
      <c r="F45" s="30" t="str">
        <f aca="false">IF(A45&lt;=1.5,"1.5V dev","5V dev")</f>
        <v>5V dev</v>
      </c>
      <c r="G45" s="31" t="str">
        <f aca="false">IF(A45&lt;=1.5,"LV",IF(C45&lt;=1,"HV-A",IF(C45&lt;=2,"HV-B",IF(C45&lt;=3.5,"HV-C","HV-D"))))</f>
        <v>HV-D</v>
      </c>
      <c r="H45" s="30" t="str">
        <f aca="false">IF(D45&gt;$B$2,"On request","Main")</f>
        <v>On request</v>
      </c>
      <c r="I45" s="30" t="str">
        <f aca="false">IF(E45&gt;$B$2,"On request","Main")</f>
        <v>On request</v>
      </c>
    </row>
    <row r="46" customFormat="false" ht="15" hidden="false" customHeight="true" outlineLevel="0" collapsed="false">
      <c r="A46" s="28" t="n">
        <v>5</v>
      </c>
      <c r="B46" s="28" t="n">
        <v>1</v>
      </c>
      <c r="C46" s="28" t="n">
        <f aca="false">A46-B46</f>
        <v>4</v>
      </c>
      <c r="D46" s="29" t="n">
        <f aca="false">C46*$E$2</f>
        <v>0.8</v>
      </c>
      <c r="E46" s="29" t="n">
        <f aca="false">C46*$H$2</f>
        <v>1.6</v>
      </c>
      <c r="F46" s="30" t="str">
        <f aca="false">IF(A46&lt;=1.5,"1.5V dev","5V dev")</f>
        <v>5V dev</v>
      </c>
      <c r="G46" s="31" t="str">
        <f aca="false">IF(A46&lt;=1.5,"LV",IF(C46&lt;=1,"HV-A",IF(C46&lt;=2,"HV-B",IF(C46&lt;=3.5,"HV-C","HV-D"))))</f>
        <v>HV-D</v>
      </c>
      <c r="H46" s="30" t="str">
        <f aca="false">IF(D46&gt;$B$2,"On request","Main")</f>
        <v>On request</v>
      </c>
      <c r="I46" s="30" t="str">
        <f aca="false">IF(E46&gt;$B$2,"On request","Main")</f>
        <v>On request</v>
      </c>
    </row>
    <row r="47" customFormat="false" ht="15" hidden="false" customHeight="true" outlineLevel="0" collapsed="false">
      <c r="A47" s="28" t="n">
        <v>5</v>
      </c>
      <c r="B47" s="28" t="n">
        <v>0.8</v>
      </c>
      <c r="C47" s="28" t="n">
        <f aca="false">A47-B47</f>
        <v>4.2</v>
      </c>
      <c r="D47" s="29" t="n">
        <f aca="false">C47*$E$2</f>
        <v>0.84</v>
      </c>
      <c r="E47" s="29" t="n">
        <f aca="false">C47*$H$2</f>
        <v>1.68</v>
      </c>
      <c r="F47" s="30" t="str">
        <f aca="false">IF(A47&lt;=1.5,"1.5V dev","5V dev")</f>
        <v>5V dev</v>
      </c>
      <c r="G47" s="31" t="str">
        <f aca="false">IF(A47&lt;=1.5,"LV",IF(C47&lt;=1,"HV-A",IF(C47&lt;=2,"HV-B",IF(C47&lt;=3.5,"HV-C","HV-D"))))</f>
        <v>HV-D</v>
      </c>
      <c r="H47" s="30" t="str">
        <f aca="false">IF(D47&gt;$B$2,"On request","Main")</f>
        <v>On request</v>
      </c>
      <c r="I47" s="30" t="str">
        <f aca="false">IF(E47&gt;$B$2,"On request","Main")</f>
        <v>On request</v>
      </c>
    </row>
    <row r="48" customFormat="false" ht="15" hidden="false" customHeight="true" outlineLevel="0" collapsed="false">
      <c r="A48" s="28" t="n">
        <v>5</v>
      </c>
      <c r="B48" s="28" t="n">
        <v>0.5</v>
      </c>
      <c r="C48" s="28" t="n">
        <f aca="false">A48-B48</f>
        <v>4.5</v>
      </c>
      <c r="D48" s="29" t="n">
        <f aca="false">C48*$E$2</f>
        <v>0.9</v>
      </c>
      <c r="E48" s="29" t="n">
        <f aca="false">C48*$H$2</f>
        <v>1.8</v>
      </c>
      <c r="F48" s="30" t="str">
        <f aca="false">IF(A48&lt;=1.5,"1.5V dev","5V dev")</f>
        <v>5V dev</v>
      </c>
      <c r="G48" s="31" t="str">
        <f aca="false">IF(A48&lt;=1.5,"LV",IF(C48&lt;=1,"HV-A",IF(C48&lt;=2,"HV-B",IF(C48&lt;=3.5,"HV-C","HV-D"))))</f>
        <v>HV-D</v>
      </c>
      <c r="H48" s="30" t="str">
        <f aca="false">IF(D48&gt;$B$2,"On request","Main")</f>
        <v>On request</v>
      </c>
      <c r="I48" s="30" t="str">
        <f aca="false">IF(E48&gt;$B$2,"On request","Main")</f>
        <v>On request</v>
      </c>
    </row>
    <row r="51" customFormat="false" ht="15" hidden="false" customHeight="true" outlineLevel="0" collapsed="false">
      <c r="A51" s="32" t="s">
        <v>28</v>
      </c>
      <c r="B51" s="32"/>
      <c r="C51" s="32"/>
      <c r="D51" s="32"/>
      <c r="E51" s="32"/>
      <c r="F51" s="32"/>
      <c r="G51" s="32"/>
      <c r="H51" s="32"/>
      <c r="I51" s="32"/>
    </row>
    <row r="52" customFormat="false" ht="15" hidden="false" customHeight="true" outlineLevel="0" collapsed="false">
      <c r="A52" s="33" t="s">
        <v>29</v>
      </c>
      <c r="B52" s="33" t="s">
        <v>24</v>
      </c>
      <c r="C52" s="33" t="s">
        <v>30</v>
      </c>
      <c r="D52" s="33" t="s">
        <v>31</v>
      </c>
      <c r="E52" s="33" t="s">
        <v>32</v>
      </c>
      <c r="F52" s="33" t="s">
        <v>33</v>
      </c>
    </row>
    <row r="53" customFormat="false" ht="24" hidden="false" customHeight="true" outlineLevel="0" collapsed="false">
      <c r="A53" s="15" t="s">
        <v>34</v>
      </c>
      <c r="B53" s="14" t="s">
        <v>35</v>
      </c>
      <c r="C53" s="14" t="s">
        <v>36</v>
      </c>
      <c r="D53" s="14" t="s">
        <v>37</v>
      </c>
      <c r="E53" s="14" t="s">
        <v>38</v>
      </c>
      <c r="F53" s="34" t="s">
        <v>39</v>
      </c>
      <c r="G53" s="34"/>
      <c r="H53" s="34"/>
      <c r="I53" s="34"/>
    </row>
    <row r="54" customFormat="false" ht="24" hidden="false" customHeight="true" outlineLevel="0" collapsed="false">
      <c r="A54" s="19" t="s">
        <v>40</v>
      </c>
      <c r="B54" s="18" t="s">
        <v>41</v>
      </c>
      <c r="C54" s="18" t="s">
        <v>42</v>
      </c>
      <c r="D54" s="18" t="s">
        <v>37</v>
      </c>
      <c r="E54" s="18" t="s">
        <v>38</v>
      </c>
      <c r="F54" s="35" t="s">
        <v>43</v>
      </c>
      <c r="G54" s="35"/>
      <c r="H54" s="35"/>
      <c r="I54" s="35"/>
    </row>
    <row r="55" customFormat="false" ht="24" hidden="false" customHeight="true" outlineLevel="0" collapsed="false">
      <c r="A55" s="23" t="s">
        <v>44</v>
      </c>
      <c r="B55" s="22" t="s">
        <v>41</v>
      </c>
      <c r="C55" s="22" t="s">
        <v>45</v>
      </c>
      <c r="D55" s="22" t="s">
        <v>38</v>
      </c>
      <c r="E55" s="22" t="s">
        <v>46</v>
      </c>
      <c r="F55" s="36" t="s">
        <v>47</v>
      </c>
      <c r="G55" s="36"/>
      <c r="H55" s="36"/>
      <c r="I55" s="36"/>
    </row>
    <row r="56" customFormat="false" ht="24" hidden="false" customHeight="true" outlineLevel="0" collapsed="false">
      <c r="A56" s="27" t="s">
        <v>48</v>
      </c>
      <c r="B56" s="26" t="s">
        <v>41</v>
      </c>
      <c r="C56" s="26" t="s">
        <v>49</v>
      </c>
      <c r="D56" s="26" t="s">
        <v>50</v>
      </c>
      <c r="E56" s="26" t="s">
        <v>51</v>
      </c>
      <c r="F56" s="37" t="s">
        <v>52</v>
      </c>
      <c r="G56" s="37"/>
      <c r="H56" s="37"/>
      <c r="I56" s="37"/>
    </row>
    <row r="57" customFormat="false" ht="24" hidden="false" customHeight="true" outlineLevel="0" collapsed="false">
      <c r="A57" s="31" t="s">
        <v>53</v>
      </c>
      <c r="B57" s="30" t="s">
        <v>41</v>
      </c>
      <c r="C57" s="30" t="s">
        <v>54</v>
      </c>
      <c r="D57" s="30" t="s">
        <v>55</v>
      </c>
      <c r="E57" s="30" t="s">
        <v>56</v>
      </c>
      <c r="F57" s="38" t="s">
        <v>57</v>
      </c>
      <c r="G57" s="38"/>
      <c r="H57" s="38"/>
      <c r="I57" s="38"/>
    </row>
    <row r="59" customFormat="false" ht="15" hidden="false" customHeight="true" outlineLevel="0" collapsed="false">
      <c r="A59" s="39" t="s">
        <v>58</v>
      </c>
      <c r="B59" s="39"/>
      <c r="C59" s="39"/>
      <c r="D59" s="39"/>
      <c r="E59" s="39"/>
      <c r="F59" s="39"/>
      <c r="G59" s="39"/>
      <c r="H59" s="39"/>
      <c r="I59" s="39"/>
    </row>
    <row r="60" customFormat="false" ht="15" hidden="false" customHeight="true" outlineLevel="0" collapsed="false">
      <c r="A60" s="39"/>
      <c r="B60" s="39"/>
      <c r="C60" s="39"/>
      <c r="D60" s="39"/>
      <c r="E60" s="39"/>
      <c r="F60" s="39"/>
      <c r="G60" s="39"/>
      <c r="H60" s="39"/>
      <c r="I60" s="39"/>
    </row>
    <row r="61" customFormat="false" ht="15" hidden="false" customHeight="true" outlineLevel="0" collapsed="false">
      <c r="A61" s="39"/>
      <c r="B61" s="39"/>
      <c r="C61" s="39"/>
      <c r="D61" s="39"/>
      <c r="E61" s="39"/>
      <c r="F61" s="39"/>
      <c r="G61" s="39"/>
      <c r="H61" s="39"/>
      <c r="I61" s="39"/>
    </row>
  </sheetData>
  <mergeCells count="9">
    <mergeCell ref="A1:I1"/>
    <mergeCell ref="A3:I3"/>
    <mergeCell ref="A51:I51"/>
    <mergeCell ref="F53:I53"/>
    <mergeCell ref="F54:I54"/>
    <mergeCell ref="F55:I55"/>
    <mergeCell ref="F56:I56"/>
    <mergeCell ref="F57:I57"/>
    <mergeCell ref="A59:I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34"/>
    <col collapsed="false" customWidth="true" hidden="false" outlineLevel="0" max="4" min="4" style="1" width="14"/>
  </cols>
  <sheetData>
    <row r="1" customFormat="false" ht="15.75" hidden="false" customHeight="true" outlineLevel="0" collapsed="false">
      <c r="A1" s="2" t="s">
        <v>59</v>
      </c>
      <c r="B1" s="2"/>
      <c r="C1" s="2"/>
      <c r="D1" s="2"/>
    </row>
    <row r="2" customFormat="false" ht="15" hidden="false" customHeight="true" outlineLevel="0" collapsed="false">
      <c r="A2" s="3" t="s">
        <v>60</v>
      </c>
      <c r="B2" s="3"/>
      <c r="C2" s="3"/>
      <c r="D2" s="3"/>
    </row>
    <row r="4" customFormat="false" ht="15" hidden="false" customHeight="true" outlineLevel="0" collapsed="false">
      <c r="A4" s="32" t="s">
        <v>61</v>
      </c>
      <c r="B4" s="32"/>
      <c r="C4" s="32"/>
      <c r="D4" s="32"/>
    </row>
    <row r="5" customFormat="false" ht="15" hidden="false" customHeight="true" outlineLevel="0" collapsed="false">
      <c r="A5" s="33" t="s">
        <v>62</v>
      </c>
      <c r="B5" s="33" t="s">
        <v>63</v>
      </c>
      <c r="C5" s="33" t="s">
        <v>64</v>
      </c>
    </row>
    <row r="6" customFormat="false" ht="19.5" hidden="false" customHeight="true" outlineLevel="0" collapsed="false">
      <c r="A6" s="40" t="s">
        <v>65</v>
      </c>
      <c r="B6" s="41" t="n">
        <v>0.8</v>
      </c>
      <c r="C6" s="34" t="s">
        <v>66</v>
      </c>
      <c r="D6" s="34"/>
    </row>
    <row r="7" customFormat="false" ht="19.5" hidden="false" customHeight="true" outlineLevel="0" collapsed="false">
      <c r="A7" s="40" t="s">
        <v>67</v>
      </c>
      <c r="B7" s="41" t="n">
        <v>0.92</v>
      </c>
      <c r="C7" s="34" t="s">
        <v>68</v>
      </c>
      <c r="D7" s="34"/>
    </row>
    <row r="8" customFormat="false" ht="19.5" hidden="false" customHeight="true" outlineLevel="0" collapsed="false">
      <c r="A8" s="42" t="s">
        <v>69</v>
      </c>
      <c r="B8" s="16" t="n">
        <v>1.1</v>
      </c>
      <c r="C8" s="35" t="s">
        <v>70</v>
      </c>
      <c r="D8" s="35"/>
    </row>
    <row r="9" customFormat="false" ht="19.5" hidden="false" customHeight="true" outlineLevel="0" collapsed="false">
      <c r="A9" s="42" t="s">
        <v>71</v>
      </c>
      <c r="B9" s="16" t="n">
        <v>1.2</v>
      </c>
      <c r="C9" s="35" t="s">
        <v>72</v>
      </c>
      <c r="D9" s="35"/>
    </row>
    <row r="10" customFormat="false" ht="19.5" hidden="false" customHeight="true" outlineLevel="0" collapsed="false">
      <c r="A10" s="42" t="s">
        <v>9</v>
      </c>
      <c r="B10" s="16" t="n">
        <v>1.35</v>
      </c>
      <c r="C10" s="35" t="s">
        <v>73</v>
      </c>
      <c r="D10" s="35"/>
    </row>
    <row r="11" customFormat="false" ht="19.5" hidden="false" customHeight="true" outlineLevel="0" collapsed="false">
      <c r="A11" s="42" t="s">
        <v>74</v>
      </c>
      <c r="B11" s="16" t="n">
        <v>1.5</v>
      </c>
      <c r="C11" s="35" t="s">
        <v>75</v>
      </c>
      <c r="D11" s="35"/>
    </row>
    <row r="12" customFormat="false" ht="19.5" hidden="false" customHeight="true" outlineLevel="0" collapsed="false">
      <c r="A12" s="42" t="s">
        <v>76</v>
      </c>
      <c r="B12" s="16" t="n">
        <v>1.8</v>
      </c>
      <c r="C12" s="35" t="s">
        <v>77</v>
      </c>
      <c r="D12" s="35"/>
    </row>
    <row r="13" customFormat="false" ht="19.5" hidden="false" customHeight="true" outlineLevel="0" collapsed="false">
      <c r="A13" s="42" t="s">
        <v>78</v>
      </c>
      <c r="B13" s="16" t="n">
        <v>2.5</v>
      </c>
      <c r="C13" s="35" t="s">
        <v>79</v>
      </c>
      <c r="D13" s="35"/>
    </row>
    <row r="14" customFormat="false" ht="19.5" hidden="false" customHeight="true" outlineLevel="0" collapsed="false">
      <c r="A14" s="42" t="s">
        <v>80</v>
      </c>
      <c r="B14" s="16" t="n">
        <v>3.3</v>
      </c>
      <c r="C14" s="35" t="s">
        <v>81</v>
      </c>
      <c r="D14" s="35"/>
    </row>
    <row r="16" customFormat="false" ht="15" hidden="false" customHeight="true" outlineLevel="0" collapsed="false">
      <c r="A16" s="43" t="s">
        <v>82</v>
      </c>
      <c r="B16" s="44" t="n">
        <v>9</v>
      </c>
      <c r="C16" s="45" t="s">
        <v>83</v>
      </c>
    </row>
    <row r="17" customFormat="false" ht="15" hidden="false" customHeight="true" outlineLevel="0" collapsed="false">
      <c r="A17" s="43" t="s">
        <v>84</v>
      </c>
      <c r="B17" s="46" t="n">
        <f aca="false">ROUNDUP(LN(B16)/LN(2),0)</f>
        <v>4</v>
      </c>
      <c r="C17" s="45" t="s">
        <v>85</v>
      </c>
    </row>
    <row r="19" customFormat="false" ht="15" hidden="false" customHeight="true" outlineLevel="0" collapsed="false">
      <c r="A19" s="32" t="s">
        <v>86</v>
      </c>
      <c r="B19" s="32"/>
      <c r="C19" s="32"/>
      <c r="D19" s="32"/>
    </row>
    <row r="20" customFormat="false" ht="15" hidden="false" customHeight="true" outlineLevel="0" collapsed="false">
      <c r="A20" s="43" t="s">
        <v>87</v>
      </c>
      <c r="B20" s="47" t="n">
        <v>200</v>
      </c>
      <c r="C20" s="45" t="s">
        <v>88</v>
      </c>
    </row>
    <row r="21" customFormat="false" ht="15" hidden="false" customHeight="true" outlineLevel="0" collapsed="false">
      <c r="A21" s="43" t="s">
        <v>89</v>
      </c>
      <c r="B21" s="9" t="n">
        <v>25</v>
      </c>
      <c r="C21" s="45" t="s">
        <v>90</v>
      </c>
    </row>
    <row r="22" customFormat="false" ht="15" hidden="false" customHeight="true" outlineLevel="0" collapsed="false">
      <c r="A22" s="48" t="s">
        <v>91</v>
      </c>
      <c r="B22" s="44" t="n">
        <f aca="false">B20/B21</f>
        <v>8</v>
      </c>
      <c r="C22" s="45" t="s">
        <v>92</v>
      </c>
    </row>
    <row r="23" customFormat="false" ht="15" hidden="false" customHeight="true" outlineLevel="0" collapsed="false">
      <c r="A23" s="48" t="s">
        <v>93</v>
      </c>
      <c r="B23" s="46" t="n">
        <f aca="false">ROUNDUP(LN(B22)/LN(2),0)</f>
        <v>3</v>
      </c>
      <c r="C23" s="45" t="s">
        <v>94</v>
      </c>
    </row>
    <row r="24" customFormat="false" ht="15" hidden="false" customHeight="true" outlineLevel="0" collapsed="false">
      <c r="A24" s="43" t="s">
        <v>95</v>
      </c>
      <c r="B24" s="49" t="n">
        <f aca="false">B17+B23</f>
        <v>7</v>
      </c>
      <c r="C24" s="45" t="s">
        <v>96</v>
      </c>
    </row>
    <row r="26" customFormat="false" ht="15" hidden="false" customHeight="true" outlineLevel="0" collapsed="false">
      <c r="A26" s="43" t="s">
        <v>97</v>
      </c>
      <c r="B26" s="9" t="n">
        <v>6.25</v>
      </c>
      <c r="C26" s="45" t="s">
        <v>98</v>
      </c>
    </row>
    <row r="27" customFormat="false" ht="15" hidden="false" customHeight="true" outlineLevel="0" collapsed="false">
      <c r="A27" s="48" t="s">
        <v>99</v>
      </c>
      <c r="B27" s="44" t="n">
        <f aca="false">ROUNDUP(LN(B20/B26)/LN(2),0)</f>
        <v>5</v>
      </c>
      <c r="C27" s="50"/>
    </row>
    <row r="28" customFormat="false" ht="15" hidden="false" customHeight="true" outlineLevel="0" collapsed="false">
      <c r="A28" s="48" t="s">
        <v>100</v>
      </c>
      <c r="B28" s="46" t="n">
        <f aca="false">B27-B23</f>
        <v>2</v>
      </c>
      <c r="C28" s="45" t="s">
        <v>101</v>
      </c>
    </row>
    <row r="30" customFormat="false" ht="15" hidden="false" customHeight="true" outlineLevel="0" collapsed="false">
      <c r="A30" s="39" t="s">
        <v>102</v>
      </c>
      <c r="B30" s="39"/>
      <c r="C30" s="39"/>
      <c r="D30" s="39"/>
    </row>
    <row r="31" customFormat="false" ht="15" hidden="false" customHeight="true" outlineLevel="0" collapsed="false">
      <c r="A31" s="39"/>
      <c r="B31" s="39"/>
      <c r="C31" s="39"/>
      <c r="D31" s="39"/>
    </row>
    <row r="32" customFormat="false" ht="15" hidden="false" customHeight="true" outlineLevel="0" collapsed="false">
      <c r="A32" s="51" t="s">
        <v>103</v>
      </c>
      <c r="B32" s="51"/>
      <c r="C32" s="51"/>
      <c r="D32" s="51"/>
    </row>
    <row r="33" customFormat="false" ht="15" hidden="false" customHeight="true" outlineLevel="0" collapsed="false">
      <c r="A33" s="51"/>
      <c r="B33" s="51"/>
      <c r="C33" s="51"/>
      <c r="D33" s="51"/>
    </row>
    <row r="34" customFormat="false" ht="15" hidden="false" customHeight="true" outlineLevel="0" collapsed="false">
      <c r="A34" s="51"/>
      <c r="B34" s="51"/>
      <c r="C34" s="51"/>
      <c r="D34" s="51"/>
    </row>
  </sheetData>
  <mergeCells count="15">
    <mergeCell ref="A1:D1"/>
    <mergeCell ref="A2:D2"/>
    <mergeCell ref="A4:D4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9:D19"/>
    <mergeCell ref="A30:D31"/>
    <mergeCell ref="A32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2026-07-21T22:15:40Z</dcterms:created>
  <dc:creator>openpyxl</dc:creator>
  <dc:description/>
  <dc:language>en-US</dc:language>
  <cp:lastModifiedBy/>
  <dcterms:modified xsi:type="dcterms:W3CDTF">2026-07-21T23:13:58Z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